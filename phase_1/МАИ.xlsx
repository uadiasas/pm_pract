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rdi\Downloads\"/>
    </mc:Choice>
  </mc:AlternateContent>
  <xr:revisionPtr revIDLastSave="0" documentId="13_ncr:1_{98B3A606-9007-4884-97BB-9430680A6D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40" i="1" s="1"/>
  <c r="B42" i="1"/>
  <c r="M38" i="1" s="1"/>
  <c r="H38" i="1" a="1"/>
  <c r="H41" i="1" s="1"/>
  <c r="E42" i="1"/>
  <c r="C35" i="1"/>
  <c r="N34" i="1" s="1"/>
  <c r="B35" i="1"/>
  <c r="M32" i="1" s="1"/>
  <c r="E35" i="1"/>
  <c r="H31" i="1" a="1"/>
  <c r="D28" i="1"/>
  <c r="O26" i="1" s="1"/>
  <c r="O27" i="1"/>
  <c r="E28" i="1"/>
  <c r="B28" i="1"/>
  <c r="D21" i="1"/>
  <c r="O17" i="1" s="1"/>
  <c r="B21" i="1"/>
  <c r="M19" i="1" s="1"/>
  <c r="H17" i="1" a="1"/>
  <c r="C21" i="1"/>
  <c r="E21" i="1"/>
  <c r="B14" i="1"/>
  <c r="M13" i="1" s="1"/>
  <c r="E14" i="1"/>
  <c r="D14" i="1"/>
  <c r="O12" i="1" s="1"/>
  <c r="H10" i="1" a="1"/>
  <c r="B7" i="1"/>
  <c r="I3" i="1" s="1"/>
  <c r="C7" i="1"/>
  <c r="F7" i="1"/>
  <c r="E7" i="1"/>
  <c r="D7" i="1"/>
  <c r="M39" i="1" l="1"/>
  <c r="M41" i="1"/>
  <c r="O38" i="1"/>
  <c r="O39" i="1"/>
  <c r="O41" i="1"/>
  <c r="N31" i="1"/>
  <c r="N33" i="1"/>
  <c r="O24" i="1"/>
  <c r="O25" i="1"/>
  <c r="M20" i="1"/>
  <c r="M17" i="1"/>
  <c r="M18" i="1"/>
  <c r="O18" i="1"/>
  <c r="O13" i="1"/>
  <c r="M11" i="1"/>
  <c r="M12" i="1"/>
  <c r="O11" i="1"/>
  <c r="I6" i="1"/>
  <c r="I2" i="1"/>
  <c r="K5" i="1"/>
  <c r="M4" i="1"/>
  <c r="M2" i="1"/>
  <c r="M6" i="1"/>
  <c r="M3" i="1"/>
  <c r="M5" i="1"/>
  <c r="J5" i="1"/>
  <c r="J2" i="1"/>
  <c r="J6" i="1"/>
  <c r="J4" i="1"/>
  <c r="J3" i="1"/>
  <c r="P20" i="1"/>
  <c r="P18" i="1"/>
  <c r="Q18" i="1" s="1"/>
  <c r="D46" i="1" s="1"/>
  <c r="P33" i="1"/>
  <c r="P34" i="1"/>
  <c r="P32" i="1"/>
  <c r="M24" i="1"/>
  <c r="M27" i="1"/>
  <c r="M25" i="1"/>
  <c r="H13" i="1"/>
  <c r="H11" i="1"/>
  <c r="H10" i="1"/>
  <c r="H12" i="1"/>
  <c r="H32" i="1"/>
  <c r="H31" i="1"/>
  <c r="H34" i="1"/>
  <c r="H33" i="1"/>
  <c r="K4" i="1"/>
  <c r="K6" i="1"/>
  <c r="K3" i="1"/>
  <c r="P27" i="1"/>
  <c r="P25" i="1"/>
  <c r="P26" i="1"/>
  <c r="P24" i="1"/>
  <c r="P41" i="1"/>
  <c r="P39" i="1"/>
  <c r="P40" i="1"/>
  <c r="N17" i="1"/>
  <c r="N20" i="1"/>
  <c r="N18" i="1"/>
  <c r="H20" i="1"/>
  <c r="H19" i="1"/>
  <c r="H18" i="1"/>
  <c r="H17" i="1"/>
  <c r="P11" i="1"/>
  <c r="P12" i="1"/>
  <c r="P13" i="1"/>
  <c r="L4" i="1"/>
  <c r="L5" i="1"/>
  <c r="L2" i="1"/>
  <c r="L6" i="1"/>
  <c r="L3" i="1"/>
  <c r="O19" i="1"/>
  <c r="P19" i="1"/>
  <c r="M10" i="1"/>
  <c r="M26" i="1"/>
  <c r="N32" i="1"/>
  <c r="M40" i="1"/>
  <c r="M34" i="1"/>
  <c r="P38" i="1"/>
  <c r="H24" i="1" a="1"/>
  <c r="H38" i="1"/>
  <c r="O10" i="1"/>
  <c r="I5" i="1"/>
  <c r="P10" i="1"/>
  <c r="C14" i="1"/>
  <c r="C28" i="1"/>
  <c r="C42" i="1"/>
  <c r="N39" i="1" s="1"/>
  <c r="K2" i="1"/>
  <c r="O20" i="1"/>
  <c r="H39" i="1"/>
  <c r="M31" i="1"/>
  <c r="H40" i="1"/>
  <c r="I4" i="1"/>
  <c r="P17" i="1"/>
  <c r="M33" i="1"/>
  <c r="P31" i="1"/>
  <c r="N19" i="1"/>
  <c r="D35" i="1"/>
  <c r="O31" i="1" s="1"/>
  <c r="Q39" i="1" l="1"/>
  <c r="G46" i="1" s="1"/>
  <c r="N41" i="1"/>
  <c r="R41" i="1" s="1"/>
  <c r="I17" i="1" a="1"/>
  <c r="I17" i="1" s="1"/>
  <c r="J17" i="1" s="1"/>
  <c r="R18" i="1"/>
  <c r="R17" i="1"/>
  <c r="R19" i="1"/>
  <c r="Q20" i="1"/>
  <c r="D48" i="1" s="1"/>
  <c r="I10" i="1" a="1"/>
  <c r="I10" i="1" s="1"/>
  <c r="J10" i="1" s="1"/>
  <c r="N2" i="1"/>
  <c r="J44" i="1" s="1"/>
  <c r="N6" i="1"/>
  <c r="J48" i="1" s="1"/>
  <c r="O3" i="1"/>
  <c r="N25" i="1"/>
  <c r="Q25" i="1" s="1"/>
  <c r="E46" i="1" s="1"/>
  <c r="N26" i="1"/>
  <c r="R26" i="1" s="1"/>
  <c r="N24" i="1"/>
  <c r="R24" i="1" s="1"/>
  <c r="R20" i="1"/>
  <c r="Q41" i="1"/>
  <c r="G48" i="1" s="1"/>
  <c r="N13" i="1"/>
  <c r="N11" i="1"/>
  <c r="N12" i="1"/>
  <c r="O5" i="1"/>
  <c r="N5" i="1"/>
  <c r="J47" i="1" s="1"/>
  <c r="Q17" i="1"/>
  <c r="D45" i="1" s="1"/>
  <c r="R27" i="1"/>
  <c r="Q27" i="1"/>
  <c r="E48" i="1" s="1"/>
  <c r="O2" i="1"/>
  <c r="O4" i="1"/>
  <c r="N4" i="1"/>
  <c r="J46" i="1" s="1"/>
  <c r="N10" i="1"/>
  <c r="R10" i="1" s="1"/>
  <c r="N3" i="1"/>
  <c r="J45" i="1" s="1"/>
  <c r="O33" i="1"/>
  <c r="Q33" i="1" s="1"/>
  <c r="F47" i="1" s="1"/>
  <c r="O34" i="1"/>
  <c r="R34" i="1" s="1"/>
  <c r="O32" i="1"/>
  <c r="R31" i="1"/>
  <c r="Q31" i="1"/>
  <c r="F45" i="1" s="1"/>
  <c r="I38" i="1" a="1"/>
  <c r="I38" i="1" s="1"/>
  <c r="J38" i="1" s="1"/>
  <c r="N27" i="1"/>
  <c r="N40" i="1"/>
  <c r="Q40" i="1" s="1"/>
  <c r="G47" i="1" s="1"/>
  <c r="H27" i="1"/>
  <c r="H26" i="1"/>
  <c r="H25" i="1"/>
  <c r="H24" i="1"/>
  <c r="Q19" i="1"/>
  <c r="D47" i="1" s="1"/>
  <c r="N38" i="1"/>
  <c r="I31" i="1" a="1"/>
  <c r="I31" i="1" s="1"/>
  <c r="J31" i="1" s="1"/>
  <c r="O6" i="1"/>
  <c r="R39" i="1"/>
  <c r="R40" i="1" l="1"/>
  <c r="Q26" i="1"/>
  <c r="E47" i="1" s="1"/>
  <c r="I24" i="1" a="1"/>
  <c r="I24" i="1" s="1"/>
  <c r="J24" i="1" s="1"/>
  <c r="R25" i="1"/>
  <c r="Q24" i="1"/>
  <c r="E45" i="1" s="1"/>
  <c r="R13" i="1"/>
  <c r="Q13" i="1"/>
  <c r="C48" i="1" s="1"/>
  <c r="Q32" i="1"/>
  <c r="F46" i="1" s="1"/>
  <c r="R32" i="1"/>
  <c r="R38" i="1"/>
  <c r="Q38" i="1"/>
  <c r="G45" i="1" s="1"/>
  <c r="R33" i="1"/>
  <c r="Q10" i="1"/>
  <c r="C45" i="1" s="1"/>
  <c r="Q12" i="1"/>
  <c r="C47" i="1" s="1"/>
  <c r="R12" i="1"/>
  <c r="Q34" i="1"/>
  <c r="F48" i="1" s="1"/>
  <c r="R11" i="1"/>
  <c r="Q11" i="1"/>
  <c r="C46" i="1" s="1"/>
  <c r="C51" i="1" l="1" a="1"/>
  <c r="C53" i="1" s="1"/>
  <c r="C54" i="1" l="1"/>
  <c r="C51" i="1"/>
  <c r="C52" i="1"/>
</calcChain>
</file>

<file path=xl/sharedStrings.xml><?xml version="1.0" encoding="utf-8"?>
<sst xmlns="http://schemas.openxmlformats.org/spreadsheetml/2006/main" count="165" uniqueCount="32">
  <si>
    <t>Вес в долях</t>
  </si>
  <si>
    <t>Вес в процентах</t>
  </si>
  <si>
    <t>Концепции</t>
  </si>
  <si>
    <t>A</t>
  </si>
  <si>
    <t>B</t>
  </si>
  <si>
    <t>C</t>
  </si>
  <si>
    <t>D</t>
  </si>
  <si>
    <t>Сумма</t>
  </si>
  <si>
    <t>Критерии</t>
  </si>
  <si>
    <t>Нормировка</t>
  </si>
  <si>
    <t>Уровень конкуренции в отрасли</t>
  </si>
  <si>
    <t>Невыгодно</t>
  </si>
  <si>
    <t>е</t>
  </si>
  <si>
    <t>р</t>
  </si>
  <si>
    <r>
      <rPr>
        <sz val="11"/>
        <color rgb="FF000000"/>
        <rFont val="Arial"/>
      </rPr>
      <t>λ</t>
    </r>
    <r>
      <rPr>
        <sz val="10"/>
        <color rgb="FF000000"/>
        <rFont val="Arial"/>
      </rPr>
      <t>max</t>
    </r>
  </si>
  <si>
    <t>И</t>
  </si>
  <si>
    <t>Срок окупаемости проекта</t>
  </si>
  <si>
    <t>Кол-во потенциальных клиентов</t>
  </si>
  <si>
    <t>Выгодно</t>
  </si>
  <si>
    <t>Наличие конкурентных преимуществ</t>
  </si>
  <si>
    <t>Стоимость реализации MVP</t>
  </si>
  <si>
    <r>
      <rPr>
        <sz val="11"/>
        <color rgb="FF000000"/>
        <rFont val="Arial"/>
      </rPr>
      <t>λ</t>
    </r>
    <r>
      <rPr>
        <sz val="10"/>
        <color rgb="FF000000"/>
        <rFont val="Arial"/>
      </rPr>
      <t>max</t>
    </r>
  </si>
  <si>
    <r>
      <rPr>
        <sz val="11"/>
        <color rgb="FF000000"/>
        <rFont val="Arial"/>
      </rPr>
      <t>λ</t>
    </r>
    <r>
      <rPr>
        <sz val="10"/>
        <color rgb="FF000000"/>
        <rFont val="Arial"/>
      </rPr>
      <t>max</t>
    </r>
  </si>
  <si>
    <r>
      <rPr>
        <sz val="11"/>
        <color rgb="FF000000"/>
        <rFont val="Arial"/>
      </rPr>
      <t>λ</t>
    </r>
    <r>
      <rPr>
        <sz val="10"/>
        <color rgb="FF000000"/>
        <rFont val="Arial"/>
      </rPr>
      <t>max</t>
    </r>
  </si>
  <si>
    <r>
      <rPr>
        <sz val="11"/>
        <color rgb="FF000000"/>
        <rFont val="Arial"/>
      </rPr>
      <t>λ</t>
    </r>
    <r>
      <rPr>
        <sz val="10"/>
        <color rgb="FF000000"/>
        <rFont val="Arial"/>
      </rPr>
      <t>max</t>
    </r>
  </si>
  <si>
    <t>веса альтернатив</t>
  </si>
  <si>
    <t>Вывод:</t>
  </si>
  <si>
    <t>По результатам преимущество имеет проект B — Онлайн-библиотека с выдачей книг (Library Management)</t>
  </si>
  <si>
    <t>Онлайн-библиотека с выдачей книг (Library Management)</t>
  </si>
  <si>
    <t>Система умного дома (Smart Home Automation)</t>
  </si>
  <si>
    <t>Платформа для онлайн-торговли handmade товарами (E-commerce for Artisans)</t>
  </si>
  <si>
    <t>Мобильное приложение для трекинга фитнеса (Personal Fitness Tracker)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</si>
</sst>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Symbol"/>
    </font>
    <font>
      <sz val="11"/>
      <color rgb="FF000000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BDD6EE"/>
        <bgColor rgb="FFBDD6EE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3" fillId="0" borderId="0" xfId="0" applyFont="1"/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3" fillId="0" borderId="0" xfId="0" applyFont="1" applyAlignment="1">
      <alignment horizontal="right"/>
    </xf>
    <xf numFmtId="0" fontId="2" fillId="5" borderId="0" xfId="0" applyFont="1" applyFill="1"/>
    <xf numFmtId="0" fontId="1" fillId="3" borderId="2" xfId="0" applyFont="1" applyFill="1" applyBorder="1"/>
    <xf numFmtId="0" fontId="4" fillId="3" borderId="2" xfId="0" applyFont="1" applyFill="1" applyBorder="1"/>
    <xf numFmtId="0" fontId="2" fillId="6" borderId="0" xfId="0" applyFont="1" applyFill="1"/>
    <xf numFmtId="0" fontId="1" fillId="0" borderId="2" xfId="0" applyFont="1" applyBorder="1" applyAlignment="1">
      <alignment horizontal="right"/>
    </xf>
    <xf numFmtId="165" fontId="2" fillId="0" borderId="0" xfId="0" applyNumberFormat="1" applyFont="1"/>
    <xf numFmtId="0" fontId="1" fillId="0" borderId="2" xfId="0" applyFont="1" applyBorder="1"/>
    <xf numFmtId="0" fontId="2" fillId="4" borderId="0" xfId="0" applyFont="1" applyFill="1"/>
    <xf numFmtId="0" fontId="2" fillId="7" borderId="0" xfId="0" applyFont="1" applyFill="1"/>
    <xf numFmtId="164" fontId="1" fillId="0" borderId="0" xfId="0" applyNumberFormat="1" applyFont="1"/>
    <xf numFmtId="0" fontId="2" fillId="8" borderId="0" xfId="0" applyFont="1" applyFill="1"/>
    <xf numFmtId="164" fontId="2" fillId="9" borderId="0" xfId="0" applyNumberFormat="1" applyFont="1" applyFill="1"/>
    <xf numFmtId="10" fontId="2" fillId="9" borderId="0" xfId="0" applyNumberFormat="1" applyFont="1" applyFill="1"/>
    <xf numFmtId="0" fontId="2" fillId="10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58"/>
  <sheetViews>
    <sheetView tabSelected="1" topLeftCell="B1" workbookViewId="0">
      <selection activeCell="S2" sqref="S2:T5"/>
    </sheetView>
  </sheetViews>
  <sheetFormatPr defaultColWidth="12.5703125" defaultRowHeight="15.75" customHeight="1" x14ac:dyDescent="0.2"/>
  <cols>
    <col min="1" max="1" width="18.7109375" customWidth="1"/>
    <col min="12" max="12" width="13.85546875" customWidth="1"/>
    <col min="15" max="15" width="13.28515625" customWidth="1"/>
    <col min="18" max="18" width="13.85546875" customWidth="1"/>
  </cols>
  <sheetData>
    <row r="1" spans="1:23" ht="15.75" customHeight="1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4" t="s">
        <v>0</v>
      </c>
      <c r="O1" s="4" t="s">
        <v>1</v>
      </c>
      <c r="S1" s="5" t="s">
        <v>2</v>
      </c>
      <c r="T1" s="6"/>
      <c r="U1" s="6"/>
      <c r="V1" s="6"/>
      <c r="W1" s="6"/>
    </row>
    <row r="2" spans="1:23" ht="15.75" customHeight="1" x14ac:dyDescent="0.25">
      <c r="A2" s="2">
        <v>1</v>
      </c>
      <c r="B2" s="7">
        <v>1</v>
      </c>
      <c r="C2" s="8">
        <v>1</v>
      </c>
      <c r="D2" s="8">
        <v>0.5</v>
      </c>
      <c r="E2" s="8">
        <v>0.33333333333333331</v>
      </c>
      <c r="F2" s="8">
        <v>1</v>
      </c>
      <c r="H2" s="3">
        <v>1</v>
      </c>
      <c r="I2" s="9">
        <f t="shared" ref="I2:M2" si="0">B2/B7</f>
        <v>6.6666666666666666E-2</v>
      </c>
      <c r="J2" s="9">
        <f t="shared" si="0"/>
        <v>0.13999999999999999</v>
      </c>
      <c r="K2" s="9">
        <f t="shared" si="0"/>
        <v>8.8235294117647051E-2</v>
      </c>
      <c r="L2" s="9">
        <f t="shared" si="0"/>
        <v>0.1497326203208556</v>
      </c>
      <c r="M2" s="9">
        <f t="shared" si="0"/>
        <v>6.4516129032258063E-2</v>
      </c>
      <c r="N2" s="9">
        <f t="shared" ref="N2:N6" si="1">AVERAGE(I2:M2)</f>
        <v>0.10183014202748548</v>
      </c>
      <c r="O2" s="10">
        <f t="shared" ref="O2:O6" si="2">AVERAGE(I2:M2)</f>
        <v>0.10183014202748548</v>
      </c>
      <c r="R2" s="6" t="s">
        <v>31</v>
      </c>
      <c r="S2" s="11" t="s">
        <v>3</v>
      </c>
      <c r="T2" s="6" t="s">
        <v>31</v>
      </c>
      <c r="U2" s="6"/>
      <c r="V2" s="6"/>
      <c r="W2" s="6"/>
    </row>
    <row r="3" spans="1:23" ht="15.75" customHeight="1" x14ac:dyDescent="0.25">
      <c r="A3" s="2">
        <v>2</v>
      </c>
      <c r="B3" s="8">
        <v>2</v>
      </c>
      <c r="C3" s="7">
        <v>2</v>
      </c>
      <c r="D3" s="8">
        <v>1</v>
      </c>
      <c r="E3" s="8">
        <v>0.5</v>
      </c>
      <c r="F3" s="8">
        <v>0.5</v>
      </c>
      <c r="H3" s="3">
        <v>2</v>
      </c>
      <c r="I3" s="9">
        <f t="shared" ref="I3:M3" si="3">B3/B7</f>
        <v>0.13333333333333333</v>
      </c>
      <c r="J3" s="9">
        <f t="shared" si="3"/>
        <v>0.27999999999999997</v>
      </c>
      <c r="K3" s="9">
        <f t="shared" si="3"/>
        <v>0.1764705882352941</v>
      </c>
      <c r="L3" s="9">
        <f t="shared" si="3"/>
        <v>0.2245989304812834</v>
      </c>
      <c r="M3" s="9">
        <f t="shared" si="3"/>
        <v>3.2258064516129031E-2</v>
      </c>
      <c r="N3" s="9">
        <f t="shared" si="1"/>
        <v>0.16933218331320798</v>
      </c>
      <c r="O3" s="10">
        <f t="shared" si="2"/>
        <v>0.16933218331320798</v>
      </c>
      <c r="S3" s="11" t="s">
        <v>4</v>
      </c>
      <c r="T3" s="6" t="s">
        <v>28</v>
      </c>
      <c r="U3" s="6"/>
      <c r="V3" s="6"/>
      <c r="W3" s="6"/>
    </row>
    <row r="4" spans="1:23" ht="15.75" customHeight="1" x14ac:dyDescent="0.25">
      <c r="A4" s="2">
        <v>3</v>
      </c>
      <c r="B4" s="8">
        <v>3</v>
      </c>
      <c r="C4" s="8">
        <v>3</v>
      </c>
      <c r="D4" s="7">
        <v>2</v>
      </c>
      <c r="E4" s="8">
        <v>1</v>
      </c>
      <c r="F4" s="8">
        <v>7</v>
      </c>
      <c r="H4" s="3">
        <v>3</v>
      </c>
      <c r="I4" s="9">
        <f t="shared" ref="I4:M4" si="4">B4/B7</f>
        <v>0.2</v>
      </c>
      <c r="J4" s="9">
        <f t="shared" si="4"/>
        <v>0.42</v>
      </c>
      <c r="K4" s="9">
        <f t="shared" si="4"/>
        <v>0.3529411764705882</v>
      </c>
      <c r="L4" s="9">
        <f t="shared" si="4"/>
        <v>0.44919786096256681</v>
      </c>
      <c r="M4" s="9">
        <f t="shared" si="4"/>
        <v>0.45161290322580644</v>
      </c>
      <c r="N4" s="9">
        <f t="shared" si="1"/>
        <v>0.37475038813179229</v>
      </c>
      <c r="O4" s="10">
        <f t="shared" si="2"/>
        <v>0.37475038813179229</v>
      </c>
      <c r="S4" s="11" t="s">
        <v>5</v>
      </c>
      <c r="T4" s="6" t="s">
        <v>30</v>
      </c>
      <c r="U4" s="6"/>
      <c r="V4" s="6"/>
      <c r="W4" s="6"/>
    </row>
    <row r="5" spans="1:23" ht="15.75" customHeight="1" x14ac:dyDescent="0.25">
      <c r="A5" s="2">
        <v>4</v>
      </c>
      <c r="B5" s="8">
        <v>4</v>
      </c>
      <c r="C5" s="8">
        <v>1</v>
      </c>
      <c r="D5" s="8">
        <v>2</v>
      </c>
      <c r="E5" s="7">
        <v>0.14285714285714285</v>
      </c>
      <c r="F5" s="8">
        <v>1</v>
      </c>
      <c r="H5" s="3">
        <v>4</v>
      </c>
      <c r="I5" s="9">
        <f t="shared" ref="I5:M5" si="5">B5/B7</f>
        <v>0.26666666666666666</v>
      </c>
      <c r="J5" s="9">
        <f t="shared" si="5"/>
        <v>0.13999999999999999</v>
      </c>
      <c r="K5" s="9">
        <f t="shared" si="5"/>
        <v>0.3529411764705882</v>
      </c>
      <c r="L5" s="9">
        <f t="shared" si="5"/>
        <v>6.4171122994652399E-2</v>
      </c>
      <c r="M5" s="9">
        <f t="shared" si="5"/>
        <v>6.4516129032258063E-2</v>
      </c>
      <c r="N5" s="9">
        <f t="shared" si="1"/>
        <v>0.17765901903283304</v>
      </c>
      <c r="O5" s="10">
        <f t="shared" si="2"/>
        <v>0.17765901903283304</v>
      </c>
      <c r="S5" s="11" t="s">
        <v>6</v>
      </c>
      <c r="T5" s="6" t="s">
        <v>29</v>
      </c>
      <c r="U5" s="6"/>
      <c r="V5" s="6"/>
      <c r="W5" s="6"/>
    </row>
    <row r="6" spans="1:23" ht="15.75" customHeight="1" x14ac:dyDescent="0.25">
      <c r="A6" s="2">
        <v>5</v>
      </c>
      <c r="B6" s="8">
        <v>5</v>
      </c>
      <c r="C6" s="8">
        <v>0.14285714285714285</v>
      </c>
      <c r="D6" s="8">
        <v>0.16666666666666666</v>
      </c>
      <c r="E6" s="8">
        <v>0.25</v>
      </c>
      <c r="F6" s="7">
        <v>6</v>
      </c>
      <c r="H6" s="3">
        <v>5</v>
      </c>
      <c r="I6" s="9">
        <f t="shared" ref="I6:M6" si="6">B6/B7</f>
        <v>0.33333333333333331</v>
      </c>
      <c r="J6" s="9">
        <f t="shared" si="6"/>
        <v>1.9999999999999997E-2</v>
      </c>
      <c r="K6" s="9">
        <f t="shared" si="6"/>
        <v>2.9411764705882349E-2</v>
      </c>
      <c r="L6" s="9">
        <f t="shared" si="6"/>
        <v>0.1122994652406417</v>
      </c>
      <c r="M6" s="9">
        <f t="shared" si="6"/>
        <v>0.38709677419354838</v>
      </c>
      <c r="N6" s="9">
        <f t="shared" si="1"/>
        <v>0.17642826749468116</v>
      </c>
      <c r="O6" s="10">
        <f t="shared" si="2"/>
        <v>0.17642826749468116</v>
      </c>
      <c r="S6" s="6"/>
      <c r="T6" s="6"/>
      <c r="U6" s="6"/>
      <c r="V6" s="6"/>
      <c r="W6" s="6"/>
    </row>
    <row r="7" spans="1:23" ht="15.75" customHeight="1" x14ac:dyDescent="0.25">
      <c r="A7" s="12" t="s">
        <v>7</v>
      </c>
      <c r="B7" s="13">
        <f t="shared" ref="B7:F7" si="7">SUM(B2:B6)</f>
        <v>15</v>
      </c>
      <c r="C7" s="13">
        <f t="shared" si="7"/>
        <v>7.1428571428571432</v>
      </c>
      <c r="D7" s="13">
        <f t="shared" si="7"/>
        <v>5.666666666666667</v>
      </c>
      <c r="E7" s="13">
        <f t="shared" si="7"/>
        <v>2.2261904761904763</v>
      </c>
      <c r="F7" s="13">
        <f t="shared" si="7"/>
        <v>15.5</v>
      </c>
      <c r="S7" s="5" t="s">
        <v>8</v>
      </c>
      <c r="T7" s="6"/>
      <c r="U7" s="6"/>
      <c r="V7" s="6"/>
      <c r="W7" s="6"/>
    </row>
    <row r="8" spans="1:23" ht="15.75" customHeight="1" x14ac:dyDescent="0.25">
      <c r="M8" s="29" t="s">
        <v>9</v>
      </c>
      <c r="N8" s="30"/>
      <c r="O8" s="30"/>
      <c r="P8" s="30"/>
      <c r="S8" s="14">
        <v>1</v>
      </c>
      <c r="T8" s="6" t="s">
        <v>10</v>
      </c>
      <c r="U8" s="6"/>
      <c r="V8" s="6"/>
      <c r="W8" s="6" t="s">
        <v>11</v>
      </c>
    </row>
    <row r="9" spans="1:23" ht="15.75" customHeight="1" x14ac:dyDescent="0.25">
      <c r="A9" s="12" t="s">
        <v>10</v>
      </c>
      <c r="B9" s="15" t="s">
        <v>3</v>
      </c>
      <c r="C9" s="15" t="s">
        <v>4</v>
      </c>
      <c r="D9" s="15" t="s">
        <v>5</v>
      </c>
      <c r="E9" s="15" t="s">
        <v>6</v>
      </c>
      <c r="G9" s="16" t="s">
        <v>12</v>
      </c>
      <c r="H9" s="16" t="s">
        <v>13</v>
      </c>
      <c r="I9" s="17" t="s">
        <v>14</v>
      </c>
      <c r="J9" s="16" t="s">
        <v>15</v>
      </c>
      <c r="L9" s="12" t="s">
        <v>10</v>
      </c>
      <c r="M9" s="15" t="s">
        <v>3</v>
      </c>
      <c r="N9" s="15" t="s">
        <v>4</v>
      </c>
      <c r="O9" s="15" t="s">
        <v>5</v>
      </c>
      <c r="P9" s="15" t="s">
        <v>6</v>
      </c>
      <c r="Q9" s="4" t="s">
        <v>0</v>
      </c>
      <c r="R9" s="4" t="s">
        <v>1</v>
      </c>
      <c r="S9" s="14">
        <v>2</v>
      </c>
      <c r="T9" s="6" t="s">
        <v>16</v>
      </c>
      <c r="U9" s="6"/>
      <c r="V9" s="6"/>
      <c r="W9" s="6" t="s">
        <v>11</v>
      </c>
    </row>
    <row r="10" spans="1:23" ht="15.75" customHeight="1" x14ac:dyDescent="0.25">
      <c r="A10" s="18" t="s">
        <v>3</v>
      </c>
      <c r="B10" s="13">
        <v>1</v>
      </c>
      <c r="C10" s="13">
        <v>3</v>
      </c>
      <c r="D10" s="13">
        <v>0.2</v>
      </c>
      <c r="E10" s="13">
        <v>0.33333333333333331</v>
      </c>
      <c r="G10" s="19">
        <v>1</v>
      </c>
      <c r="H10" s="19">
        <f t="array" ref="H10:H13">MMULT(B10:E13,G10:G13)/MMULT(TRANSPOSE(G10:G13),MMULT(B10:E13,G10:G13))</f>
        <v>0.19127988748241914</v>
      </c>
      <c r="I10" s="19">
        <f t="array" ref="I10">MMULT(TRANSPOSE(G10:G13),MMULT(B10:E13,H10:H13))</f>
        <v>4.7660571964369431</v>
      </c>
      <c r="J10" s="19">
        <f>(I10-4)/(4-1)</f>
        <v>0.25535239881231436</v>
      </c>
      <c r="L10" s="18" t="s">
        <v>3</v>
      </c>
      <c r="M10" s="13">
        <f t="shared" ref="M10:P10" si="8">B10/B14</f>
        <v>0.10714285714285715</v>
      </c>
      <c r="N10" s="13">
        <f t="shared" si="8"/>
        <v>0.42857142857142855</v>
      </c>
      <c r="O10" s="13">
        <f t="shared" si="8"/>
        <v>9.836065573770493E-2</v>
      </c>
      <c r="P10" s="13">
        <f t="shared" si="8"/>
        <v>6.25E-2</v>
      </c>
      <c r="Q10" s="20">
        <f t="shared" ref="Q10:Q13" si="9">AVERAGE(M10:P10)</f>
        <v>0.17414373536299765</v>
      </c>
      <c r="R10" s="10">
        <f t="shared" ref="R10:R13" si="10">AVERAGE(M10:P10)</f>
        <v>0.17414373536299765</v>
      </c>
      <c r="S10" s="14">
        <v>3</v>
      </c>
      <c r="T10" s="6" t="s">
        <v>17</v>
      </c>
      <c r="U10" s="6"/>
      <c r="V10" s="6"/>
      <c r="W10" s="6" t="s">
        <v>18</v>
      </c>
    </row>
    <row r="11" spans="1:23" ht="15.75" customHeight="1" x14ac:dyDescent="0.25">
      <c r="A11" s="18" t="s">
        <v>4</v>
      </c>
      <c r="B11" s="13">
        <v>0.33333333333333331</v>
      </c>
      <c r="C11" s="13">
        <v>1</v>
      </c>
      <c r="D11" s="13">
        <v>0.5</v>
      </c>
      <c r="E11" s="13">
        <v>1</v>
      </c>
      <c r="G11" s="19">
        <v>1</v>
      </c>
      <c r="H11" s="19">
        <v>0.11954992967651194</v>
      </c>
      <c r="I11" s="21"/>
      <c r="J11" s="21"/>
      <c r="L11" s="18" t="s">
        <v>4</v>
      </c>
      <c r="M11" s="13">
        <f t="shared" ref="M11:P11" si="11">B11/B14</f>
        <v>3.5714285714285719E-2</v>
      </c>
      <c r="N11" s="13">
        <f t="shared" si="11"/>
        <v>0.14285714285714285</v>
      </c>
      <c r="O11" s="13">
        <f t="shared" si="11"/>
        <v>0.24590163934426232</v>
      </c>
      <c r="P11" s="13">
        <f t="shared" si="11"/>
        <v>0.1875</v>
      </c>
      <c r="Q11" s="20">
        <f t="shared" si="9"/>
        <v>0.15299326697892274</v>
      </c>
      <c r="R11" s="10">
        <f t="shared" si="10"/>
        <v>0.15299326697892274</v>
      </c>
      <c r="S11" s="14">
        <v>4</v>
      </c>
      <c r="T11" s="6" t="s">
        <v>19</v>
      </c>
      <c r="U11" s="6"/>
      <c r="V11" s="6"/>
      <c r="W11" s="6" t="s">
        <v>18</v>
      </c>
    </row>
    <row r="12" spans="1:23" ht="15.75" customHeight="1" x14ac:dyDescent="0.25">
      <c r="A12" s="18" t="s">
        <v>5</v>
      </c>
      <c r="B12" s="13">
        <v>5</v>
      </c>
      <c r="C12" s="13">
        <v>2</v>
      </c>
      <c r="D12" s="13">
        <v>1</v>
      </c>
      <c r="E12" s="13">
        <v>3</v>
      </c>
      <c r="G12" s="19">
        <v>1</v>
      </c>
      <c r="H12" s="19">
        <v>0.46413502109704641</v>
      </c>
      <c r="I12" s="21"/>
      <c r="J12" s="21"/>
      <c r="L12" s="18" t="s">
        <v>5</v>
      </c>
      <c r="M12" s="13">
        <f t="shared" ref="M12:P12" si="12">B12/B14</f>
        <v>0.53571428571428581</v>
      </c>
      <c r="N12" s="13">
        <f t="shared" si="12"/>
        <v>0.2857142857142857</v>
      </c>
      <c r="O12" s="13">
        <f t="shared" si="12"/>
        <v>0.49180327868852464</v>
      </c>
      <c r="P12" s="13">
        <f t="shared" si="12"/>
        <v>0.5625</v>
      </c>
      <c r="Q12" s="20">
        <f t="shared" si="9"/>
        <v>0.46893296252927402</v>
      </c>
      <c r="R12" s="10">
        <f t="shared" si="10"/>
        <v>0.46893296252927402</v>
      </c>
      <c r="S12" s="14">
        <v>5</v>
      </c>
      <c r="T12" s="6" t="s">
        <v>20</v>
      </c>
      <c r="U12" s="6"/>
      <c r="V12" s="6"/>
      <c r="W12" s="6" t="s">
        <v>11</v>
      </c>
    </row>
    <row r="13" spans="1:23" ht="15.75" customHeight="1" x14ac:dyDescent="0.25">
      <c r="A13" s="18" t="s">
        <v>6</v>
      </c>
      <c r="B13" s="13">
        <v>3</v>
      </c>
      <c r="C13" s="13">
        <v>1</v>
      </c>
      <c r="D13" s="13">
        <v>0.33333333333333331</v>
      </c>
      <c r="E13" s="13">
        <v>1</v>
      </c>
      <c r="G13" s="19">
        <v>1</v>
      </c>
      <c r="H13" s="19">
        <v>0.22503516174402249</v>
      </c>
      <c r="I13" s="21"/>
      <c r="J13" s="21"/>
      <c r="L13" s="18" t="s">
        <v>6</v>
      </c>
      <c r="M13" s="13">
        <f t="shared" ref="M13:P13" si="13">B13/B14</f>
        <v>0.32142857142857145</v>
      </c>
      <c r="N13" s="13">
        <f t="shared" si="13"/>
        <v>0.14285714285714285</v>
      </c>
      <c r="O13" s="13">
        <f t="shared" si="13"/>
        <v>0.16393442622950818</v>
      </c>
      <c r="P13" s="13">
        <f t="shared" si="13"/>
        <v>0.1875</v>
      </c>
      <c r="Q13" s="20">
        <f t="shared" si="9"/>
        <v>0.20393003512880561</v>
      </c>
      <c r="R13" s="10">
        <f t="shared" si="10"/>
        <v>0.20393003512880561</v>
      </c>
    </row>
    <row r="14" spans="1:23" ht="12.75" x14ac:dyDescent="0.2">
      <c r="A14" s="12" t="s">
        <v>7</v>
      </c>
      <c r="B14" s="13">
        <f t="shared" ref="B14:E14" si="14">SUM(B10:B13)</f>
        <v>9.3333333333333321</v>
      </c>
      <c r="C14" s="13">
        <f t="shared" si="14"/>
        <v>7</v>
      </c>
      <c r="D14" s="13">
        <f t="shared" si="14"/>
        <v>2.0333333333333332</v>
      </c>
      <c r="E14" s="13">
        <f t="shared" si="14"/>
        <v>5.333333333333333</v>
      </c>
    </row>
    <row r="16" spans="1:23" ht="15.75" customHeight="1" x14ac:dyDescent="0.25">
      <c r="A16" s="6" t="s">
        <v>16</v>
      </c>
      <c r="B16" s="15" t="s">
        <v>3</v>
      </c>
      <c r="C16" s="15" t="s">
        <v>4</v>
      </c>
      <c r="D16" s="15" t="s">
        <v>5</v>
      </c>
      <c r="E16" s="15" t="s">
        <v>6</v>
      </c>
      <c r="G16" s="16" t="s">
        <v>12</v>
      </c>
      <c r="H16" s="16" t="s">
        <v>13</v>
      </c>
      <c r="I16" s="17" t="s">
        <v>21</v>
      </c>
      <c r="J16" s="16" t="s">
        <v>15</v>
      </c>
      <c r="L16" s="6" t="s">
        <v>16</v>
      </c>
      <c r="M16" s="15" t="s">
        <v>3</v>
      </c>
      <c r="N16" s="15" t="s">
        <v>4</v>
      </c>
      <c r="O16" s="15" t="s">
        <v>5</v>
      </c>
      <c r="P16" s="15" t="s">
        <v>6</v>
      </c>
      <c r="Q16" s="4" t="s">
        <v>0</v>
      </c>
      <c r="R16" s="4" t="s">
        <v>1</v>
      </c>
    </row>
    <row r="17" spans="1:18" ht="15.75" customHeight="1" x14ac:dyDescent="0.25">
      <c r="A17" s="18" t="s">
        <v>3</v>
      </c>
      <c r="B17" s="13">
        <v>1</v>
      </c>
      <c r="C17" s="13">
        <v>0.33333333333333331</v>
      </c>
      <c r="D17" s="13">
        <v>0.2</v>
      </c>
      <c r="E17" s="13">
        <v>0.25</v>
      </c>
      <c r="G17" s="19">
        <v>1</v>
      </c>
      <c r="H17" s="19">
        <f t="array" ref="H17:H20">MMULT(B17:E20,G17:G20)/MMULT(TRANSPOSE(G17:G20),MMULT(B17:E20,G17:G20))</f>
        <v>7.4982480728801676E-2</v>
      </c>
      <c r="I17" s="19">
        <f t="array" ref="I17">MMULT(TRANSPOSE(G17:G20),MMULT(B17:E20,H17:H20))</f>
        <v>4.0634197617379115</v>
      </c>
      <c r="J17" s="19">
        <f>(I17-4)/(4-1)</f>
        <v>2.1139920579303844E-2</v>
      </c>
      <c r="L17" s="18" t="s">
        <v>3</v>
      </c>
      <c r="M17" s="13">
        <f t="shared" ref="M17:P17" si="15">B17/B21</f>
        <v>7.6923076923076927E-2</v>
      </c>
      <c r="N17" s="13">
        <f t="shared" si="15"/>
        <v>7.6923076923076927E-2</v>
      </c>
      <c r="O17" s="13">
        <f t="shared" si="15"/>
        <v>9.0909090909090912E-2</v>
      </c>
      <c r="P17" s="13">
        <f t="shared" si="15"/>
        <v>5.8823529411764705E-2</v>
      </c>
      <c r="Q17" s="9">
        <f t="shared" ref="Q17:Q20" si="16">AVERAGE(M17:P17)</f>
        <v>7.5894693541752364E-2</v>
      </c>
      <c r="R17" s="10">
        <f t="shared" ref="R17:R20" si="17">AVERAGE(M17:P17)</f>
        <v>7.5894693541752364E-2</v>
      </c>
    </row>
    <row r="18" spans="1:18" ht="15.75" customHeight="1" x14ac:dyDescent="0.25">
      <c r="A18" s="18" t="s">
        <v>4</v>
      </c>
      <c r="B18" s="13">
        <v>3</v>
      </c>
      <c r="C18" s="13">
        <v>1</v>
      </c>
      <c r="D18" s="13">
        <v>0.5</v>
      </c>
      <c r="E18" s="13">
        <v>1</v>
      </c>
      <c r="G18" s="19">
        <v>1</v>
      </c>
      <c r="H18" s="19">
        <v>0.23125437981779959</v>
      </c>
      <c r="I18" s="21"/>
      <c r="J18" s="21"/>
      <c r="L18" s="18" t="s">
        <v>4</v>
      </c>
      <c r="M18" s="13">
        <f t="shared" ref="M18:P18" si="18">B18/B21</f>
        <v>0.23076923076923078</v>
      </c>
      <c r="N18" s="13">
        <f t="shared" si="18"/>
        <v>0.23076923076923078</v>
      </c>
      <c r="O18" s="13">
        <f t="shared" si="18"/>
        <v>0.22727272727272727</v>
      </c>
      <c r="P18" s="13">
        <f t="shared" si="18"/>
        <v>0.23529411764705882</v>
      </c>
      <c r="Q18" s="9">
        <f t="shared" si="16"/>
        <v>0.23102632661456191</v>
      </c>
      <c r="R18" s="10">
        <f t="shared" si="17"/>
        <v>0.23102632661456191</v>
      </c>
    </row>
    <row r="19" spans="1:18" ht="15.75" customHeight="1" x14ac:dyDescent="0.25">
      <c r="A19" s="18" t="s">
        <v>5</v>
      </c>
      <c r="B19" s="13">
        <v>5</v>
      </c>
      <c r="C19" s="13">
        <v>2</v>
      </c>
      <c r="D19" s="13">
        <v>1</v>
      </c>
      <c r="E19" s="13">
        <v>2</v>
      </c>
      <c r="G19" s="19">
        <v>1</v>
      </c>
      <c r="H19" s="19">
        <v>0.42046250875963564</v>
      </c>
      <c r="I19" s="21"/>
      <c r="J19" s="21"/>
      <c r="L19" s="18" t="s">
        <v>5</v>
      </c>
      <c r="M19" s="13">
        <f t="shared" ref="M19:P19" si="19">B19/B21</f>
        <v>0.38461538461538464</v>
      </c>
      <c r="N19" s="13">
        <f t="shared" si="19"/>
        <v>0.46153846153846156</v>
      </c>
      <c r="O19" s="13">
        <f t="shared" si="19"/>
        <v>0.45454545454545453</v>
      </c>
      <c r="P19" s="13">
        <f t="shared" si="19"/>
        <v>0.47058823529411764</v>
      </c>
      <c r="Q19" s="9">
        <f t="shared" si="16"/>
        <v>0.44282188399835465</v>
      </c>
      <c r="R19" s="10">
        <f t="shared" si="17"/>
        <v>0.44282188399835465</v>
      </c>
    </row>
    <row r="20" spans="1:18" ht="15.75" customHeight="1" x14ac:dyDescent="0.25">
      <c r="A20" s="18" t="s">
        <v>6</v>
      </c>
      <c r="B20" s="13">
        <v>4</v>
      </c>
      <c r="C20" s="13">
        <v>1</v>
      </c>
      <c r="D20" s="13">
        <v>0.5</v>
      </c>
      <c r="E20" s="13">
        <v>1</v>
      </c>
      <c r="G20" s="19">
        <v>1</v>
      </c>
      <c r="H20" s="19">
        <v>0.27330063069376315</v>
      </c>
      <c r="I20" s="21"/>
      <c r="J20" s="21"/>
      <c r="L20" s="18" t="s">
        <v>6</v>
      </c>
      <c r="M20" s="13">
        <f t="shared" ref="M20:P20" si="20">B20/B21</f>
        <v>0.30769230769230771</v>
      </c>
      <c r="N20" s="13">
        <f t="shared" si="20"/>
        <v>0.23076923076923078</v>
      </c>
      <c r="O20" s="13">
        <f t="shared" si="20"/>
        <v>0.22727272727272727</v>
      </c>
      <c r="P20" s="13">
        <f t="shared" si="20"/>
        <v>0.23529411764705882</v>
      </c>
      <c r="Q20" s="9">
        <f t="shared" si="16"/>
        <v>0.25025709584533118</v>
      </c>
      <c r="R20" s="10">
        <f t="shared" si="17"/>
        <v>0.25025709584533118</v>
      </c>
    </row>
    <row r="21" spans="1:18" ht="12.75" x14ac:dyDescent="0.2">
      <c r="A21" s="12" t="s">
        <v>7</v>
      </c>
      <c r="B21" s="13">
        <f t="shared" ref="B21:E21" si="21">SUM(B17:B20)</f>
        <v>13</v>
      </c>
      <c r="C21" s="13">
        <f t="shared" si="21"/>
        <v>4.333333333333333</v>
      </c>
      <c r="D21" s="13">
        <f t="shared" si="21"/>
        <v>2.2000000000000002</v>
      </c>
      <c r="E21" s="13">
        <f t="shared" si="21"/>
        <v>4.25</v>
      </c>
    </row>
    <row r="23" spans="1:18" ht="15.75" customHeight="1" x14ac:dyDescent="0.25">
      <c r="A23" s="6" t="s">
        <v>17</v>
      </c>
      <c r="B23" s="15" t="s">
        <v>3</v>
      </c>
      <c r="C23" s="15" t="s">
        <v>4</v>
      </c>
      <c r="D23" s="15" t="s">
        <v>5</v>
      </c>
      <c r="E23" s="15" t="s">
        <v>6</v>
      </c>
      <c r="G23" s="16" t="s">
        <v>12</v>
      </c>
      <c r="H23" s="16" t="s">
        <v>13</v>
      </c>
      <c r="I23" s="17" t="s">
        <v>22</v>
      </c>
      <c r="J23" s="16" t="s">
        <v>15</v>
      </c>
      <c r="L23" s="6" t="s">
        <v>17</v>
      </c>
      <c r="M23" s="15" t="s">
        <v>3</v>
      </c>
      <c r="N23" s="15" t="s">
        <v>4</v>
      </c>
      <c r="O23" s="15" t="s">
        <v>5</v>
      </c>
      <c r="P23" s="15" t="s">
        <v>6</v>
      </c>
      <c r="Q23" s="4" t="s">
        <v>0</v>
      </c>
      <c r="R23" s="4" t="s">
        <v>1</v>
      </c>
    </row>
    <row r="24" spans="1:18" ht="15.75" customHeight="1" x14ac:dyDescent="0.25">
      <c r="A24" s="18" t="s">
        <v>3</v>
      </c>
      <c r="B24" s="13">
        <v>1</v>
      </c>
      <c r="C24" s="13">
        <v>3</v>
      </c>
      <c r="D24" s="13">
        <v>5</v>
      </c>
      <c r="E24" s="13">
        <v>3</v>
      </c>
      <c r="G24" s="19">
        <v>1</v>
      </c>
      <c r="H24" s="19">
        <f t="array" ref="H24:H27">MMULT(B24:E27,G24:G27)/MMULT(TRANSPOSE(G24:G27),MMULT(B24:E27,G24:G27))</f>
        <v>0.52478134110787178</v>
      </c>
      <c r="I24" s="19">
        <f t="array" ref="I24">MMULT(TRANSPOSE(G24:G27),MMULT(B24:E27,H24:H27))</f>
        <v>4.0262390670553945</v>
      </c>
      <c r="J24" s="19">
        <f>(I24-4)/(4-1)</f>
        <v>8.7463556851314905E-3</v>
      </c>
      <c r="L24" s="18" t="s">
        <v>3</v>
      </c>
      <c r="M24" s="13">
        <f t="shared" ref="M24:P24" si="22">B24/B28</f>
        <v>0.53571428571428581</v>
      </c>
      <c r="N24" s="13">
        <f t="shared" si="22"/>
        <v>0.54545454545454541</v>
      </c>
      <c r="O24" s="13">
        <f t="shared" si="22"/>
        <v>0.5</v>
      </c>
      <c r="P24" s="13">
        <f t="shared" si="22"/>
        <v>0.54545454545454541</v>
      </c>
      <c r="Q24" s="9">
        <f t="shared" ref="Q24:Q27" si="23">AVERAGE(M24:P24)</f>
        <v>0.5316558441558441</v>
      </c>
      <c r="R24" s="10">
        <f t="shared" ref="R24:R27" si="24">AVERAGE(M24:P24)</f>
        <v>0.5316558441558441</v>
      </c>
    </row>
    <row r="25" spans="1:18" ht="15.75" customHeight="1" x14ac:dyDescent="0.25">
      <c r="A25" s="18" t="s">
        <v>4</v>
      </c>
      <c r="B25" s="13">
        <v>0.33333333333333331</v>
      </c>
      <c r="C25" s="13">
        <v>1</v>
      </c>
      <c r="D25" s="13">
        <v>2</v>
      </c>
      <c r="E25" s="13">
        <v>1</v>
      </c>
      <c r="G25" s="19">
        <v>1</v>
      </c>
      <c r="H25" s="19">
        <v>0.18950437317784258</v>
      </c>
      <c r="I25" s="21"/>
      <c r="J25" s="21"/>
      <c r="L25" s="18" t="s">
        <v>4</v>
      </c>
      <c r="M25" s="13">
        <f t="shared" ref="M25:P25" si="25">B25/B28</f>
        <v>0.17857142857142858</v>
      </c>
      <c r="N25" s="13">
        <f t="shared" si="25"/>
        <v>0.18181818181818182</v>
      </c>
      <c r="O25" s="13">
        <f t="shared" si="25"/>
        <v>0.2</v>
      </c>
      <c r="P25" s="13">
        <f t="shared" si="25"/>
        <v>0.18181818181818182</v>
      </c>
      <c r="Q25" s="9">
        <f t="shared" si="23"/>
        <v>0.18555194805194808</v>
      </c>
      <c r="R25" s="10">
        <f t="shared" si="24"/>
        <v>0.18555194805194808</v>
      </c>
    </row>
    <row r="26" spans="1:18" ht="15.75" customHeight="1" x14ac:dyDescent="0.25">
      <c r="A26" s="18" t="s">
        <v>5</v>
      </c>
      <c r="B26" s="13">
        <v>0.2</v>
      </c>
      <c r="C26" s="13">
        <v>0.5</v>
      </c>
      <c r="D26" s="13">
        <v>1</v>
      </c>
      <c r="E26" s="13">
        <v>0.5</v>
      </c>
      <c r="G26" s="19">
        <v>1</v>
      </c>
      <c r="H26" s="19">
        <v>9.6209912536443176E-2</v>
      </c>
      <c r="I26" s="21"/>
      <c r="J26" s="21"/>
      <c r="L26" s="18" t="s">
        <v>5</v>
      </c>
      <c r="M26" s="13">
        <f t="shared" ref="M26:P26" si="26">B26/B28</f>
        <v>0.10714285714285716</v>
      </c>
      <c r="N26" s="13">
        <f t="shared" si="26"/>
        <v>9.0909090909090912E-2</v>
      </c>
      <c r="O26" s="13">
        <f t="shared" si="26"/>
        <v>0.1</v>
      </c>
      <c r="P26" s="13">
        <f t="shared" si="26"/>
        <v>9.0909090909090912E-2</v>
      </c>
      <c r="Q26" s="9">
        <f t="shared" si="23"/>
        <v>9.7240259740259766E-2</v>
      </c>
      <c r="R26" s="10">
        <f t="shared" si="24"/>
        <v>9.7240259740259766E-2</v>
      </c>
    </row>
    <row r="27" spans="1:18" ht="15.75" customHeight="1" x14ac:dyDescent="0.25">
      <c r="A27" s="18" t="s">
        <v>6</v>
      </c>
      <c r="B27" s="13">
        <v>0.33333333333333331</v>
      </c>
      <c r="C27" s="13">
        <v>1</v>
      </c>
      <c r="D27" s="13">
        <v>2</v>
      </c>
      <c r="E27" s="13">
        <v>1</v>
      </c>
      <c r="G27" s="19">
        <v>1</v>
      </c>
      <c r="H27" s="19">
        <v>0.18950437317784258</v>
      </c>
      <c r="I27" s="21"/>
      <c r="J27" s="21"/>
      <c r="L27" s="18" t="s">
        <v>6</v>
      </c>
      <c r="M27" s="13">
        <f t="shared" ref="M27:P27" si="27">B27/B28</f>
        <v>0.17857142857142858</v>
      </c>
      <c r="N27" s="13">
        <f t="shared" si="27"/>
        <v>0.18181818181818182</v>
      </c>
      <c r="O27" s="13">
        <f t="shared" si="27"/>
        <v>0.2</v>
      </c>
      <c r="P27" s="13">
        <f t="shared" si="27"/>
        <v>0.18181818181818182</v>
      </c>
      <c r="Q27" s="9">
        <f t="shared" si="23"/>
        <v>0.18555194805194808</v>
      </c>
      <c r="R27" s="10">
        <f t="shared" si="24"/>
        <v>0.18555194805194808</v>
      </c>
    </row>
    <row r="28" spans="1:18" ht="12.75" x14ac:dyDescent="0.2">
      <c r="A28" s="12" t="s">
        <v>7</v>
      </c>
      <c r="B28" s="13">
        <f t="shared" ref="B28:E28" si="28">SUM(B24:B27)</f>
        <v>1.8666666666666665</v>
      </c>
      <c r="C28" s="13">
        <f t="shared" si="28"/>
        <v>5.5</v>
      </c>
      <c r="D28" s="13">
        <f t="shared" si="28"/>
        <v>10</v>
      </c>
      <c r="E28" s="13">
        <f t="shared" si="28"/>
        <v>5.5</v>
      </c>
    </row>
    <row r="30" spans="1:18" ht="15.75" customHeight="1" x14ac:dyDescent="0.25">
      <c r="A30" s="6" t="s">
        <v>19</v>
      </c>
      <c r="B30" s="15" t="s">
        <v>3</v>
      </c>
      <c r="C30" s="15" t="s">
        <v>4</v>
      </c>
      <c r="D30" s="15" t="s">
        <v>5</v>
      </c>
      <c r="E30" s="15" t="s">
        <v>6</v>
      </c>
      <c r="G30" s="16" t="s">
        <v>12</v>
      </c>
      <c r="H30" s="16" t="s">
        <v>13</v>
      </c>
      <c r="I30" s="17" t="s">
        <v>23</v>
      </c>
      <c r="J30" s="16" t="s">
        <v>15</v>
      </c>
      <c r="L30" s="6" t="s">
        <v>19</v>
      </c>
      <c r="M30" s="15" t="s">
        <v>3</v>
      </c>
      <c r="N30" s="15" t="s">
        <v>4</v>
      </c>
      <c r="O30" s="15" t="s">
        <v>5</v>
      </c>
      <c r="P30" s="15" t="s">
        <v>6</v>
      </c>
      <c r="Q30" s="4" t="s">
        <v>0</v>
      </c>
      <c r="R30" s="4" t="s">
        <v>1</v>
      </c>
    </row>
    <row r="31" spans="1:18" ht="15.75" customHeight="1" x14ac:dyDescent="0.25">
      <c r="A31" s="18" t="s">
        <v>3</v>
      </c>
      <c r="B31" s="13">
        <v>1</v>
      </c>
      <c r="C31" s="13">
        <v>3</v>
      </c>
      <c r="D31" s="13">
        <v>5</v>
      </c>
      <c r="E31" s="13">
        <v>3</v>
      </c>
      <c r="G31" s="19">
        <v>1</v>
      </c>
      <c r="H31" s="19">
        <f t="array" ref="H31:H34">MMULT(B31:E34,G31:G34)/MMULT(TRANSPOSE(G31:G34),MMULT(B31:E34,G31:G34))</f>
        <v>0.53175775480059095</v>
      </c>
      <c r="I31" s="19">
        <f t="array" ref="I31">MMULT(TRANSPOSE(G31:G34),MMULT(B31:E34,H31:H34))</f>
        <v>3.8892171344165436</v>
      </c>
      <c r="J31" s="19">
        <f>(I31-4)/(4-1)</f>
        <v>-3.6927621861152136E-2</v>
      </c>
      <c r="L31" s="18" t="s">
        <v>3</v>
      </c>
      <c r="M31" s="13">
        <f t="shared" ref="M31:P31" si="29">B31/B35</f>
        <v>0.53571428571428581</v>
      </c>
      <c r="N31" s="13">
        <f t="shared" si="29"/>
        <v>0.54545454545454541</v>
      </c>
      <c r="O31" s="13">
        <f t="shared" si="29"/>
        <v>0.5</v>
      </c>
      <c r="P31" s="13">
        <f t="shared" si="29"/>
        <v>0.57692307692307687</v>
      </c>
      <c r="Q31" s="9">
        <f t="shared" ref="Q31:Q34" si="30">AVERAGE(M31:P31)</f>
        <v>0.53952297702297702</v>
      </c>
      <c r="R31" s="10">
        <f t="shared" ref="R31:R34" si="31">AVERAGE(M31:P31)</f>
        <v>0.53952297702297702</v>
      </c>
    </row>
    <row r="32" spans="1:18" ht="15.75" customHeight="1" x14ac:dyDescent="0.25">
      <c r="A32" s="18" t="s">
        <v>4</v>
      </c>
      <c r="B32" s="13">
        <v>0.33333333333333331</v>
      </c>
      <c r="C32" s="13">
        <v>1</v>
      </c>
      <c r="D32" s="13">
        <v>2</v>
      </c>
      <c r="E32" s="13">
        <v>1</v>
      </c>
      <c r="G32" s="19">
        <v>1</v>
      </c>
      <c r="H32" s="19">
        <v>0.19202363367799116</v>
      </c>
      <c r="I32" s="21"/>
      <c r="J32" s="21"/>
      <c r="L32" s="18" t="s">
        <v>4</v>
      </c>
      <c r="M32" s="13">
        <f t="shared" ref="M32:P32" si="32">B32/B35</f>
        <v>0.17857142857142858</v>
      </c>
      <c r="N32" s="13">
        <f t="shared" si="32"/>
        <v>0.18181818181818182</v>
      </c>
      <c r="O32" s="13">
        <f t="shared" si="32"/>
        <v>0.2</v>
      </c>
      <c r="P32" s="13">
        <f t="shared" si="32"/>
        <v>0.19230769230769229</v>
      </c>
      <c r="Q32" s="9">
        <f t="shared" si="30"/>
        <v>0.18817432567432568</v>
      </c>
      <c r="R32" s="10">
        <f t="shared" si="31"/>
        <v>0.18817432567432568</v>
      </c>
    </row>
    <row r="33" spans="1:18" ht="15.75" customHeight="1" x14ac:dyDescent="0.25">
      <c r="A33" s="18" t="s">
        <v>5</v>
      </c>
      <c r="B33" s="13">
        <v>0.2</v>
      </c>
      <c r="C33" s="13">
        <v>0.5</v>
      </c>
      <c r="D33" s="13">
        <v>1</v>
      </c>
      <c r="E33" s="13">
        <v>0.2</v>
      </c>
      <c r="G33" s="19">
        <v>1</v>
      </c>
      <c r="H33" s="19">
        <v>8.4194977843426888E-2</v>
      </c>
      <c r="I33" s="21"/>
      <c r="J33" s="21"/>
      <c r="L33" s="18" t="s">
        <v>5</v>
      </c>
      <c r="M33" s="13">
        <f t="shared" ref="M33:P33" si="33">B33/B35</f>
        <v>0.10714285714285716</v>
      </c>
      <c r="N33" s="13">
        <f t="shared" si="33"/>
        <v>9.0909090909090912E-2</v>
      </c>
      <c r="O33" s="13">
        <f t="shared" si="33"/>
        <v>0.1</v>
      </c>
      <c r="P33" s="13">
        <f t="shared" si="33"/>
        <v>3.8461538461538464E-2</v>
      </c>
      <c r="Q33" s="9">
        <f t="shared" si="30"/>
        <v>8.412837162837164E-2</v>
      </c>
      <c r="R33" s="10">
        <f t="shared" si="31"/>
        <v>8.412837162837164E-2</v>
      </c>
    </row>
    <row r="34" spans="1:18" ht="15.75" customHeight="1" x14ac:dyDescent="0.25">
      <c r="A34" s="18" t="s">
        <v>6</v>
      </c>
      <c r="B34" s="13">
        <v>0.33333333333333331</v>
      </c>
      <c r="C34" s="13">
        <v>1</v>
      </c>
      <c r="D34" s="13">
        <v>2</v>
      </c>
      <c r="E34" s="13">
        <v>1</v>
      </c>
      <c r="G34" s="19">
        <v>1</v>
      </c>
      <c r="H34" s="19">
        <v>0.19202363367799116</v>
      </c>
      <c r="I34" s="21"/>
      <c r="J34" s="21"/>
      <c r="L34" s="18" t="s">
        <v>6</v>
      </c>
      <c r="M34" s="13">
        <f t="shared" ref="M34:P34" si="34">B34/B35</f>
        <v>0.17857142857142858</v>
      </c>
      <c r="N34" s="13">
        <f t="shared" si="34"/>
        <v>0.18181818181818182</v>
      </c>
      <c r="O34" s="13">
        <f t="shared" si="34"/>
        <v>0.2</v>
      </c>
      <c r="P34" s="13">
        <f t="shared" si="34"/>
        <v>0.19230769230769229</v>
      </c>
      <c r="Q34" s="9">
        <f t="shared" si="30"/>
        <v>0.18817432567432568</v>
      </c>
      <c r="R34" s="10">
        <f t="shared" si="31"/>
        <v>0.18817432567432568</v>
      </c>
    </row>
    <row r="35" spans="1:18" ht="12.75" x14ac:dyDescent="0.2">
      <c r="A35" s="12" t="s">
        <v>7</v>
      </c>
      <c r="B35" s="13">
        <f t="shared" ref="B35:E35" si="35">SUM(B31:B34)</f>
        <v>1.8666666666666665</v>
      </c>
      <c r="C35" s="13">
        <f t="shared" si="35"/>
        <v>5.5</v>
      </c>
      <c r="D35" s="13">
        <f t="shared" si="35"/>
        <v>10</v>
      </c>
      <c r="E35" s="13">
        <f t="shared" si="35"/>
        <v>5.2</v>
      </c>
    </row>
    <row r="37" spans="1:18" ht="15" x14ac:dyDescent="0.25">
      <c r="A37" s="6" t="s">
        <v>20</v>
      </c>
      <c r="B37" s="15" t="s">
        <v>3</v>
      </c>
      <c r="C37" s="15" t="s">
        <v>4</v>
      </c>
      <c r="D37" s="15" t="s">
        <v>5</v>
      </c>
      <c r="E37" s="15" t="s">
        <v>6</v>
      </c>
      <c r="G37" s="16" t="s">
        <v>12</v>
      </c>
      <c r="H37" s="16" t="s">
        <v>13</v>
      </c>
      <c r="I37" s="17" t="s">
        <v>24</v>
      </c>
      <c r="J37" s="16" t="s">
        <v>15</v>
      </c>
      <c r="L37" s="6" t="s">
        <v>20</v>
      </c>
      <c r="M37" s="15" t="s">
        <v>3</v>
      </c>
      <c r="N37" s="15" t="s">
        <v>4</v>
      </c>
      <c r="O37" s="15" t="s">
        <v>5</v>
      </c>
      <c r="P37" s="15" t="s">
        <v>6</v>
      </c>
      <c r="Q37" s="4" t="s">
        <v>0</v>
      </c>
      <c r="R37" s="4" t="s">
        <v>1</v>
      </c>
    </row>
    <row r="38" spans="1:18" ht="15" x14ac:dyDescent="0.25">
      <c r="A38" s="18" t="s">
        <v>3</v>
      </c>
      <c r="B38" s="13">
        <v>1</v>
      </c>
      <c r="C38" s="13">
        <v>0.33333333333333331</v>
      </c>
      <c r="D38" s="13">
        <v>0.2</v>
      </c>
      <c r="E38" s="13">
        <v>0.33333333333333331</v>
      </c>
      <c r="G38" s="19">
        <v>1</v>
      </c>
      <c r="H38" s="19">
        <f t="array" ref="H38:H41">MMULT(B38:E41,G38:G41)/MMULT(TRANSPOSE(G38:G41),MMULT(B38:E41,G38:G41))</f>
        <v>7.8762306610407867E-2</v>
      </c>
      <c r="I38" s="19">
        <f t="array" ref="I38">MMULT(TRANSPOSE(G38:G41),MMULT(B38:E41,H38:H41))</f>
        <v>4.0947022972339422</v>
      </c>
      <c r="J38" s="19">
        <f>(I38-4)/(4-1)</f>
        <v>3.1567432411314066E-2</v>
      </c>
      <c r="L38" s="18" t="s">
        <v>3</v>
      </c>
      <c r="M38" s="13">
        <f t="shared" ref="M38:P38" si="36">B38/B42</f>
        <v>8.3333333333333329E-2</v>
      </c>
      <c r="N38" s="13">
        <f t="shared" si="36"/>
        <v>7.6923076923076927E-2</v>
      </c>
      <c r="O38" s="13">
        <f t="shared" si="36"/>
        <v>9.836065573770493E-2</v>
      </c>
      <c r="P38" s="13">
        <f t="shared" si="36"/>
        <v>6.25E-2</v>
      </c>
      <c r="Q38" s="9">
        <f t="shared" ref="Q38:Q41" si="37">AVERAGE(M38:P38)</f>
        <v>8.027926649852879E-2</v>
      </c>
      <c r="R38" s="10">
        <f t="shared" ref="R38:R41" si="38">AVERAGE(M38:P38)</f>
        <v>8.027926649852879E-2</v>
      </c>
    </row>
    <row r="39" spans="1:18" ht="15" x14ac:dyDescent="0.25">
      <c r="A39" s="18" t="s">
        <v>4</v>
      </c>
      <c r="B39" s="13">
        <v>3</v>
      </c>
      <c r="C39" s="13">
        <v>1</v>
      </c>
      <c r="D39" s="13">
        <v>0.5</v>
      </c>
      <c r="E39" s="13">
        <v>1</v>
      </c>
      <c r="G39" s="19">
        <v>1</v>
      </c>
      <c r="H39" s="19">
        <v>0.2320675105485232</v>
      </c>
      <c r="I39" s="21"/>
      <c r="J39" s="21"/>
      <c r="L39" s="18" t="s">
        <v>4</v>
      </c>
      <c r="M39" s="13">
        <f t="shared" ref="M39:P39" si="39">B39/B42</f>
        <v>0.25</v>
      </c>
      <c r="N39" s="13">
        <f t="shared" si="39"/>
        <v>0.23076923076923078</v>
      </c>
      <c r="O39" s="13">
        <f t="shared" si="39"/>
        <v>0.24590163934426232</v>
      </c>
      <c r="P39" s="13">
        <f t="shared" si="39"/>
        <v>0.1875</v>
      </c>
      <c r="Q39" s="9">
        <f t="shared" si="37"/>
        <v>0.22854271752837327</v>
      </c>
      <c r="R39" s="10">
        <f t="shared" si="38"/>
        <v>0.22854271752837327</v>
      </c>
    </row>
    <row r="40" spans="1:18" ht="15" x14ac:dyDescent="0.25">
      <c r="A40" s="18" t="s">
        <v>5</v>
      </c>
      <c r="B40" s="13">
        <v>5</v>
      </c>
      <c r="C40" s="13">
        <v>2</v>
      </c>
      <c r="D40" s="13">
        <v>1</v>
      </c>
      <c r="E40" s="13">
        <v>3</v>
      </c>
      <c r="G40" s="19">
        <v>1</v>
      </c>
      <c r="H40" s="19">
        <v>0.46413502109704641</v>
      </c>
      <c r="I40" s="21"/>
      <c r="J40" s="21"/>
      <c r="L40" s="18" t="s">
        <v>5</v>
      </c>
      <c r="M40" s="13">
        <f t="shared" ref="M40:P40" si="40">B40/B42</f>
        <v>0.41666666666666669</v>
      </c>
      <c r="N40" s="13">
        <f t="shared" si="40"/>
        <v>0.46153846153846156</v>
      </c>
      <c r="O40" s="13">
        <f t="shared" si="40"/>
        <v>0.49180327868852464</v>
      </c>
      <c r="P40" s="13">
        <f t="shared" si="40"/>
        <v>0.5625</v>
      </c>
      <c r="Q40" s="9">
        <f t="shared" si="37"/>
        <v>0.48312710172341322</v>
      </c>
      <c r="R40" s="10">
        <f t="shared" si="38"/>
        <v>0.48312710172341322</v>
      </c>
    </row>
    <row r="41" spans="1:18" ht="15" x14ac:dyDescent="0.25">
      <c r="A41" s="18" t="s">
        <v>6</v>
      </c>
      <c r="B41" s="13">
        <v>3</v>
      </c>
      <c r="C41" s="13">
        <v>1</v>
      </c>
      <c r="D41" s="13">
        <v>0.33333333333333331</v>
      </c>
      <c r="E41" s="13">
        <v>1</v>
      </c>
      <c r="G41" s="19">
        <v>1</v>
      </c>
      <c r="H41" s="19">
        <v>0.22503516174402249</v>
      </c>
      <c r="I41" s="21"/>
      <c r="J41" s="21"/>
      <c r="L41" s="18" t="s">
        <v>6</v>
      </c>
      <c r="M41" s="13">
        <f t="shared" ref="M41:P41" si="41">B41/B42</f>
        <v>0.25</v>
      </c>
      <c r="N41" s="13">
        <f t="shared" si="41"/>
        <v>0.23076923076923078</v>
      </c>
      <c r="O41" s="13">
        <f t="shared" si="41"/>
        <v>0.16393442622950818</v>
      </c>
      <c r="P41" s="13">
        <f t="shared" si="41"/>
        <v>0.1875</v>
      </c>
      <c r="Q41" s="9">
        <f t="shared" si="37"/>
        <v>0.20805091424968475</v>
      </c>
      <c r="R41" s="10">
        <f t="shared" si="38"/>
        <v>0.20805091424968475</v>
      </c>
    </row>
    <row r="42" spans="1:18" ht="12.75" x14ac:dyDescent="0.2">
      <c r="A42" s="12" t="s">
        <v>7</v>
      </c>
      <c r="B42" s="13">
        <f t="shared" ref="B42:E42" si="42">SUM(B38:B41)</f>
        <v>12</v>
      </c>
      <c r="C42" s="13">
        <f t="shared" si="42"/>
        <v>4.333333333333333</v>
      </c>
      <c r="D42" s="13">
        <f t="shared" si="42"/>
        <v>2.0333333333333332</v>
      </c>
      <c r="E42" s="13">
        <f t="shared" si="42"/>
        <v>5.333333333333333</v>
      </c>
    </row>
    <row r="43" spans="1:18" ht="15" x14ac:dyDescent="0.25">
      <c r="F43" s="1"/>
      <c r="I43" s="4" t="s">
        <v>8</v>
      </c>
      <c r="J43" s="4" t="s">
        <v>0</v>
      </c>
    </row>
    <row r="44" spans="1:18" ht="12.75" x14ac:dyDescent="0.2">
      <c r="C44" s="22">
        <v>1</v>
      </c>
      <c r="D44" s="22">
        <v>2</v>
      </c>
      <c r="E44" s="22">
        <v>3</v>
      </c>
      <c r="F44" s="22">
        <v>4</v>
      </c>
      <c r="G44" s="22">
        <v>5</v>
      </c>
      <c r="I44" s="23">
        <v>1</v>
      </c>
      <c r="J44" s="9">
        <f t="shared" ref="J44:J48" si="43">N2</f>
        <v>0.10183014202748548</v>
      </c>
    </row>
    <row r="45" spans="1:18" ht="15" x14ac:dyDescent="0.25">
      <c r="B45" s="22" t="s">
        <v>3</v>
      </c>
      <c r="C45" s="20">
        <f t="shared" ref="C45:C48" si="44">Q10</f>
        <v>0.17414373536299765</v>
      </c>
      <c r="D45" s="9">
        <f t="shared" ref="D45:D48" si="45">Q17</f>
        <v>7.5894693541752364E-2</v>
      </c>
      <c r="E45" s="9">
        <f t="shared" ref="E45:E48" si="46">Q24</f>
        <v>0.5316558441558441</v>
      </c>
      <c r="F45" s="9">
        <f t="shared" ref="F45:F48" si="47">Q31</f>
        <v>0.53952297702297702</v>
      </c>
      <c r="G45" s="24">
        <f t="shared" ref="G45:G48" si="48">Q38</f>
        <v>8.027926649852879E-2</v>
      </c>
      <c r="I45" s="23">
        <v>2</v>
      </c>
      <c r="J45" s="9">
        <f t="shared" si="43"/>
        <v>0.16933218331320798</v>
      </c>
    </row>
    <row r="46" spans="1:18" ht="15" x14ac:dyDescent="0.25">
      <c r="B46" s="22" t="s">
        <v>4</v>
      </c>
      <c r="C46" s="20">
        <f t="shared" si="44"/>
        <v>0.15299326697892274</v>
      </c>
      <c r="D46" s="9">
        <f t="shared" si="45"/>
        <v>0.23102632661456191</v>
      </c>
      <c r="E46" s="9">
        <f t="shared" si="46"/>
        <v>0.18555194805194808</v>
      </c>
      <c r="F46" s="9">
        <f t="shared" si="47"/>
        <v>0.18817432567432568</v>
      </c>
      <c r="G46" s="24">
        <f t="shared" si="48"/>
        <v>0.22854271752837327</v>
      </c>
      <c r="I46" s="23">
        <v>3</v>
      </c>
      <c r="J46" s="9">
        <f t="shared" si="43"/>
        <v>0.37475038813179229</v>
      </c>
    </row>
    <row r="47" spans="1:18" ht="15" x14ac:dyDescent="0.25">
      <c r="B47" s="22" t="s">
        <v>5</v>
      </c>
      <c r="C47" s="20">
        <f t="shared" si="44"/>
        <v>0.46893296252927402</v>
      </c>
      <c r="D47" s="9">
        <f t="shared" si="45"/>
        <v>0.44282188399835465</v>
      </c>
      <c r="E47" s="9">
        <f t="shared" si="46"/>
        <v>9.7240259740259766E-2</v>
      </c>
      <c r="F47" s="9">
        <f t="shared" si="47"/>
        <v>8.412837162837164E-2</v>
      </c>
      <c r="G47" s="24">
        <f t="shared" si="48"/>
        <v>0.48312710172341322</v>
      </c>
      <c r="I47" s="23">
        <v>4</v>
      </c>
      <c r="J47" s="9">
        <f t="shared" si="43"/>
        <v>0.17765901903283304</v>
      </c>
    </row>
    <row r="48" spans="1:18" ht="15" x14ac:dyDescent="0.25">
      <c r="B48" s="22" t="s">
        <v>6</v>
      </c>
      <c r="C48" s="20">
        <f t="shared" si="44"/>
        <v>0.20393003512880561</v>
      </c>
      <c r="D48" s="9">
        <f t="shared" si="45"/>
        <v>0.25025709584533118</v>
      </c>
      <c r="E48" s="9">
        <f t="shared" si="46"/>
        <v>0.18555194805194808</v>
      </c>
      <c r="F48" s="9">
        <f t="shared" si="47"/>
        <v>0.18817432567432568</v>
      </c>
      <c r="G48" s="24">
        <f t="shared" si="48"/>
        <v>0.20805091424968475</v>
      </c>
      <c r="I48" s="23">
        <v>5</v>
      </c>
      <c r="J48" s="9">
        <f t="shared" si="43"/>
        <v>0.17642826749468116</v>
      </c>
    </row>
    <row r="50" spans="1:4" ht="12.75" x14ac:dyDescent="0.2">
      <c r="C50" s="4" t="s">
        <v>0</v>
      </c>
      <c r="D50" s="4" t="s">
        <v>1</v>
      </c>
    </row>
    <row r="51" spans="1:4" ht="12.75" x14ac:dyDescent="0.2">
      <c r="A51" s="25" t="s">
        <v>25</v>
      </c>
      <c r="B51" s="4" t="s">
        <v>3</v>
      </c>
      <c r="C51" s="9">
        <f t="array" ref="C51:C54">MMULT(C45:G48, J44:J48)</f>
        <v>0.33983738416211595</v>
      </c>
      <c r="D51" s="10">
        <v>0.20796560614370696</v>
      </c>
    </row>
    <row r="52" spans="1:4" ht="12.75" x14ac:dyDescent="0.2">
      <c r="B52" s="4" t="s">
        <v>4</v>
      </c>
      <c r="C52" s="26">
        <v>0.19798744475378724</v>
      </c>
      <c r="D52" s="27">
        <v>0.36604406161285047</v>
      </c>
    </row>
    <row r="53" spans="1:4" ht="12.75" x14ac:dyDescent="0.2">
      <c r="B53" s="4" t="s">
        <v>5</v>
      </c>
      <c r="C53" s="9">
        <v>0.25935977320484815</v>
      </c>
      <c r="D53" s="10">
        <v>0.17063647692198936</v>
      </c>
    </row>
    <row r="54" spans="1:4" ht="12.75" x14ac:dyDescent="0.2">
      <c r="B54" s="4" t="s">
        <v>6</v>
      </c>
      <c r="C54" s="9">
        <v>0.20281539787924865</v>
      </c>
      <c r="D54" s="10">
        <v>0.2553538553214531</v>
      </c>
    </row>
    <row r="57" spans="1:4" ht="12.75" x14ac:dyDescent="0.2">
      <c r="A57" s="28" t="s">
        <v>26</v>
      </c>
    </row>
    <row r="58" spans="1:4" ht="12.75" x14ac:dyDescent="0.2">
      <c r="A58" s="12" t="s">
        <v>27</v>
      </c>
    </row>
  </sheetData>
  <mergeCells count="1">
    <mergeCell ref="M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Арсений Сапрунов</cp:lastModifiedBy>
  <dcterms:modified xsi:type="dcterms:W3CDTF">2026-01-13T22:09:47Z</dcterms:modified>
</cp:coreProperties>
</file>